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kas\Desktop\"/>
    </mc:Choice>
  </mc:AlternateContent>
  <xr:revisionPtr revIDLastSave="0" documentId="8_{D59F8F0D-C26C-4F86-A243-AA84F1C9D747}" xr6:coauthVersionLast="47" xr6:coauthVersionMax="47" xr10:uidLastSave="{00000000-0000-0000-0000-000000000000}"/>
  <bookViews>
    <workbookView xWindow="-108" yWindow="372" windowWidth="23256" windowHeight="1269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H3" i="3"/>
  <c r="H10" i="3"/>
  <c r="H11" i="3"/>
  <c r="H12" i="3"/>
  <c r="H13" i="3"/>
  <c r="H14" i="3"/>
  <c r="H15" i="3"/>
  <c r="H16" i="3"/>
  <c r="H18" i="3"/>
  <c r="H19" i="3"/>
  <c r="H22" i="3"/>
  <c r="H23" i="3"/>
  <c r="H24" i="3"/>
  <c r="H26" i="3"/>
  <c r="H27" i="3"/>
  <c r="H28" i="3"/>
  <c r="H29" i="3"/>
  <c r="H30" i="3"/>
  <c r="H31" i="3"/>
  <c r="H32" i="3"/>
  <c r="F3" i="3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F11" i="3"/>
  <c r="F12" i="3"/>
  <c r="F13" i="3"/>
  <c r="F14" i="3"/>
  <c r="F15" i="3"/>
  <c r="F16" i="3"/>
  <c r="F17" i="3"/>
  <c r="H17" i="3" s="1"/>
  <c r="F18" i="3"/>
  <c r="F19" i="3"/>
  <c r="F20" i="3"/>
  <c r="H20" i="3" s="1"/>
  <c r="F21" i="3"/>
  <c r="H21" i="3" s="1"/>
  <c r="F22" i="3"/>
  <c r="F23" i="3"/>
  <c r="F24" i="3"/>
  <c r="F25" i="3"/>
  <c r="H25" i="3" s="1"/>
  <c r="F26" i="3"/>
  <c r="F27" i="3"/>
  <c r="F28" i="3"/>
  <c r="F29" i="3"/>
  <c r="F30" i="3"/>
  <c r="F31" i="3"/>
  <c r="F32" i="3"/>
  <c r="F2" i="3"/>
  <c r="H2" i="3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</calcChain>
</file>

<file path=xl/sharedStrings.xml><?xml version="1.0" encoding="utf-8"?>
<sst xmlns="http://schemas.openxmlformats.org/spreadsheetml/2006/main" count="321" uniqueCount="164">
  <si>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</si>
  <si>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</si>
  <si>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</si>
  <si>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</si>
  <si>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</si>
  <si>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</si>
  <si>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</si>
  <si>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</si>
  <si>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</si>
  <si>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</si>
  <si>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</si>
  <si>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</si>
  <si>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</si>
  <si>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</si>
  <si>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</si>
  <si>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</si>
  <si>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</si>
  <si>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</si>
  <si>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</si>
  <si>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</si>
  <si>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</si>
  <si>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</si>
  <si>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</si>
  <si>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</si>
  <si>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</si>
  <si>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</si>
  <si>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</si>
  <si>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</si>
  <si>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</si>
  <si>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</si>
  <si>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</si>
  <si>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</si>
  <si>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</si>
  <si>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</si>
  <si>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</si>
  <si>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</si>
  <si>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</si>
  <si>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</si>
  <si>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</si>
  <si>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</si>
  <si>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</si>
  <si>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</si>
  <si>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</si>
  <si>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</si>
  <si>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</si>
  <si>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</si>
  <si>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</si>
  <si>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</si>
  <si>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</si>
  <si>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</si>
  <si>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</si>
  <si>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</si>
  <si>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</si>
  <si>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</si>
  <si>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</si>
  <si>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</si>
  <si>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</si>
  <si>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</si>
  <si>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</si>
  <si>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</si>
  <si>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</si>
  <si>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</si>
  <si>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</si>
  <si>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</si>
  <si>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</si>
  <si>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</si>
  <si>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</si>
  <si>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</si>
  <si>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</si>
  <si>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</si>
  <si>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</si>
  <si>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</si>
  <si>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</si>
  <si>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</si>
  <si>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</si>
  <si>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</si>
  <si>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</si>
  <si>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</si>
  <si>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</si>
  <si>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</si>
  <si>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</si>
  <si>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</si>
  <si>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</si>
  <si>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</si>
  <si>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</si>
  <si>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</si>
  <si>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</si>
  <si>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</si>
  <si>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</si>
  <si>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</si>
  <si>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</si>
  <si>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</si>
  <si>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</si>
  <si>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</si>
  <si>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</si>
  <si>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</si>
  <si>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</si>
  <si>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</si>
  <si>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</si>
  <si>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</si>
  <si>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</si>
  <si>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</si>
  <si>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</si>
  <si>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</si>
  <si>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</si>
  <si>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</si>
  <si>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</si>
  <si>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</si>
  <si>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</si>
  <si>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</si>
  <si>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</si>
  <si>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</si>
  <si>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</si>
  <si>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</si>
  <si>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</si>
  <si>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</si>
  <si>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PRICE-BLANK</t>
  </si>
  <si>
    <t>CATEGORY-BLANK</t>
  </si>
  <si>
    <t>CORRECTED PRODUCT NAME</t>
  </si>
  <si>
    <t>Manufacturing Date</t>
  </si>
  <si>
    <t>Country Code</t>
  </si>
  <si>
    <t>22-MAY-</t>
  </si>
  <si>
    <t>US</t>
  </si>
  <si>
    <t>23-AUG-</t>
  </si>
  <si>
    <t>UK</t>
  </si>
  <si>
    <t>11-JUL-</t>
  </si>
  <si>
    <t>CA</t>
  </si>
  <si>
    <t>14-MAY-</t>
  </si>
  <si>
    <t>RU</t>
  </si>
  <si>
    <t>14-AUG-</t>
  </si>
  <si>
    <t>03-MAR-</t>
  </si>
  <si>
    <t>08-DEC-</t>
  </si>
  <si>
    <t>DE</t>
  </si>
  <si>
    <t>07-MAR-</t>
  </si>
  <si>
    <t>24-MAY-</t>
  </si>
  <si>
    <t>19-JUL-</t>
  </si>
  <si>
    <t>BR</t>
  </si>
  <si>
    <t>16-APR-</t>
  </si>
  <si>
    <t>ES</t>
  </si>
  <si>
    <t>07-JUN-</t>
  </si>
  <si>
    <t>14-OCT-</t>
  </si>
  <si>
    <t>02-DEC-</t>
  </si>
  <si>
    <t>27-JAN-</t>
  </si>
  <si>
    <t>IT</t>
  </si>
  <si>
    <t>28-JAN-</t>
  </si>
  <si>
    <t>17-JUN-</t>
  </si>
  <si>
    <t>IN</t>
  </si>
  <si>
    <t>21-AUG-</t>
  </si>
  <si>
    <t>09-JAN-</t>
  </si>
  <si>
    <t>29-SEP-</t>
  </si>
  <si>
    <t>11-APR-</t>
  </si>
  <si>
    <t>18-FEB-</t>
  </si>
  <si>
    <t>20-AUG-</t>
  </si>
  <si>
    <t>CN</t>
  </si>
  <si>
    <t>25-NOV-</t>
  </si>
  <si>
    <t>AU</t>
  </si>
  <si>
    <t>15-FEB-</t>
  </si>
  <si>
    <t>01-MAR-</t>
  </si>
  <si>
    <t>03-JUN-</t>
  </si>
  <si>
    <t>05-SEP-</t>
  </si>
  <si>
    <t>13-APR-</t>
  </si>
  <si>
    <t>09-JUL-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</si>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</sst>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[$-14009]dd/mm/yyyy;@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7" fillId="2" borderId="0" xfId="0" applyFont="1" applyFill="1" applyAlignment="1">
      <alignment horizontal="center" wrapText="1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0" fillId="0" borderId="0" xfId="0" applyNumberFormat="1" applyFont="1" applyAlignment="1"/>
    <xf numFmtId="167" fontId="7" fillId="2" borderId="0" xfId="0" applyNumberFormat="1" applyFont="1" applyFill="1" applyAlignment="1">
      <alignment horizontal="center" wrapText="1"/>
    </xf>
    <xf numFmtId="167" fontId="5" fillId="0" borderId="0" xfId="0" applyNumberFormat="1" applyFont="1"/>
    <xf numFmtId="167" fontId="0" fillId="0" borderId="0" xfId="0" applyNumberFormat="1" applyFont="1" applyAlignment="1"/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2" sqref="F2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26DE-A9E9-4643-80CD-2E1FFB362030}">
  <dimension ref="A1:M32"/>
  <sheetViews>
    <sheetView tabSelected="1" workbookViewId="0">
      <selection activeCell="C1" sqref="C1:C1048576"/>
    </sheetView>
  </sheetViews>
  <sheetFormatPr defaultRowHeight="13.2" x14ac:dyDescent="0.25"/>
  <cols>
    <col min="1" max="1" width="14.77734375" customWidth="1"/>
    <col min="2" max="3" width="14.77734375" style="18" customWidth="1"/>
    <col min="4" max="4" width="10.77734375" customWidth="1"/>
    <col min="5" max="5" width="13.6640625" bestFit="1" customWidth="1"/>
    <col min="6" max="6" width="13.6640625" customWidth="1"/>
    <col min="7" max="7" width="11.77734375" bestFit="1" customWidth="1"/>
    <col min="8" max="8" width="18.88671875" bestFit="1" customWidth="1"/>
    <col min="9" max="9" width="8.33203125" bestFit="1" customWidth="1"/>
    <col min="10" max="10" width="13.6640625" style="15" bestFit="1" customWidth="1"/>
    <col min="11" max="11" width="8.44140625" bestFit="1" customWidth="1"/>
    <col min="12" max="12" width="11" bestFit="1" customWidth="1"/>
    <col min="13" max="13" width="18.33203125" bestFit="1" customWidth="1"/>
  </cols>
  <sheetData>
    <row r="1" spans="1:13" ht="39.6" x14ac:dyDescent="0.25">
      <c r="A1" s="12" t="s">
        <v>119</v>
      </c>
      <c r="B1" s="16" t="s">
        <v>119</v>
      </c>
      <c r="C1" s="16" t="s">
        <v>119</v>
      </c>
      <c r="D1" s="12" t="s">
        <v>120</v>
      </c>
      <c r="E1" s="9" t="s">
        <v>20</v>
      </c>
      <c r="F1" s="12" t="s">
        <v>118</v>
      </c>
      <c r="G1" s="9" t="s">
        <v>21</v>
      </c>
      <c r="H1" s="12" t="s">
        <v>163</v>
      </c>
      <c r="I1" s="9" t="s">
        <v>22</v>
      </c>
      <c r="J1" s="13" t="s">
        <v>116</v>
      </c>
      <c r="K1" s="9" t="s">
        <v>23</v>
      </c>
      <c r="L1" s="9" t="s">
        <v>24</v>
      </c>
      <c r="M1" s="9" t="s">
        <v>117</v>
      </c>
    </row>
    <row r="2" spans="1:13" x14ac:dyDescent="0.25">
      <c r="A2" s="10" t="s">
        <v>121</v>
      </c>
      <c r="B2" s="17" t="str">
        <f>LEFT(A2,LEN(A2)-1)</f>
        <v>22-MAY</v>
      </c>
      <c r="C2" s="17">
        <f>DATEVALUE(B2)</f>
        <v>46164</v>
      </c>
      <c r="D2" s="10" t="s">
        <v>122</v>
      </c>
      <c r="E2" s="10" t="s">
        <v>41</v>
      </c>
      <c r="F2" s="10" t="str">
        <f>PROPER(E2)</f>
        <v>Backpack</v>
      </c>
      <c r="G2" s="10" t="s">
        <v>42</v>
      </c>
      <c r="H2" s="10" t="str">
        <f>F2&amp;"-"&amp;G2</f>
        <v>Backpack-North Face</v>
      </c>
      <c r="I2" s="10">
        <v>70</v>
      </c>
      <c r="J2" s="14">
        <f>IF(ISBLANK(I2),AVERAGE(I2:I35),I2)</f>
        <v>70</v>
      </c>
      <c r="K2" s="10">
        <v>20</v>
      </c>
      <c r="L2" s="10"/>
      <c r="M2" s="10" t="str">
        <f>IF(ISBLANK(L2),"UNKNOWN",L2)</f>
        <v>UNKNOWN</v>
      </c>
    </row>
    <row r="3" spans="1:13" x14ac:dyDescent="0.25">
      <c r="A3" s="11" t="s">
        <v>123</v>
      </c>
      <c r="B3" s="17" t="str">
        <f t="shared" ref="B3:B32" si="0">LEFT(A3,LEN(A3)-1)</f>
        <v>23-AUG</v>
      </c>
      <c r="C3" s="17">
        <f t="shared" ref="C3:C32" si="1">DATEVALUE(B3)</f>
        <v>46257</v>
      </c>
      <c r="D3" s="11" t="s">
        <v>124</v>
      </c>
      <c r="E3" s="11" t="s">
        <v>51</v>
      </c>
      <c r="F3" s="10" t="str">
        <f>PROPER(E3)</f>
        <v>Blender</v>
      </c>
      <c r="G3" s="11" t="s">
        <v>52</v>
      </c>
      <c r="H3" s="10" t="str">
        <f t="shared" ref="H3:H32" si="2">F3&amp;"-"&amp;G3</f>
        <v>Blender-Ninja</v>
      </c>
      <c r="I3" s="11">
        <v>90</v>
      </c>
      <c r="J3" s="14">
        <f>IF(ISBLANK(I3),AVERAGE(I3:I36),I3)</f>
        <v>90</v>
      </c>
      <c r="K3" s="11">
        <v>35</v>
      </c>
      <c r="L3" s="11" t="s">
        <v>36</v>
      </c>
      <c r="M3" s="10" t="str">
        <f>IF(ISBLANK(L3),"UNKNOWN",L3)</f>
        <v>Kitchen</v>
      </c>
    </row>
    <row r="4" spans="1:13" x14ac:dyDescent="0.25">
      <c r="A4" s="10" t="s">
        <v>125</v>
      </c>
      <c r="B4" s="17" t="str">
        <f t="shared" si="0"/>
        <v>11-JUL</v>
      </c>
      <c r="C4" s="17">
        <f t="shared" si="1"/>
        <v>46214</v>
      </c>
      <c r="D4" s="10" t="s">
        <v>126</v>
      </c>
      <c r="E4" s="10" t="s">
        <v>51</v>
      </c>
      <c r="F4" s="10" t="str">
        <f>PROPER(E4)</f>
        <v>Blender</v>
      </c>
      <c r="G4" s="10" t="s">
        <v>101</v>
      </c>
      <c r="H4" s="10" t="str">
        <f t="shared" si="2"/>
        <v>Blender-Vitamix</v>
      </c>
      <c r="I4" s="10">
        <v>400</v>
      </c>
      <c r="J4" s="14">
        <f>IF(ISBLANK(I4),AVERAGE(I4:I37),I4)</f>
        <v>400</v>
      </c>
      <c r="K4" s="10">
        <v>40</v>
      </c>
      <c r="L4" s="10" t="s">
        <v>36</v>
      </c>
      <c r="M4" s="10" t="str">
        <f>IF(ISBLANK(L4),"UNKNOWN",L4)</f>
        <v>Kitchen</v>
      </c>
    </row>
    <row r="5" spans="1:13" x14ac:dyDescent="0.25">
      <c r="A5" s="10" t="s">
        <v>127</v>
      </c>
      <c r="B5" s="17" t="str">
        <f t="shared" si="0"/>
        <v>14-MAY</v>
      </c>
      <c r="C5" s="17">
        <f t="shared" si="1"/>
        <v>46156</v>
      </c>
      <c r="D5" s="10" t="s">
        <v>128</v>
      </c>
      <c r="E5" s="10" t="s">
        <v>87</v>
      </c>
      <c r="F5" s="10" t="str">
        <f>PROPER(E5)</f>
        <v>Camera</v>
      </c>
      <c r="G5" s="10" t="s">
        <v>88</v>
      </c>
      <c r="H5" s="10" t="str">
        <f t="shared" si="2"/>
        <v>Camera-Nikon</v>
      </c>
      <c r="I5" s="10">
        <v>700</v>
      </c>
      <c r="J5" s="14">
        <f>IF(ISBLANK(I5),AVERAGE(I5:I38),I5)</f>
        <v>700</v>
      </c>
      <c r="K5" s="10">
        <v>50</v>
      </c>
      <c r="L5" s="10" t="s">
        <v>28</v>
      </c>
      <c r="M5" s="10" t="str">
        <f>IF(ISBLANK(L5),"UNKNOWN",L5)</f>
        <v>Electronics</v>
      </c>
    </row>
    <row r="6" spans="1:13" x14ac:dyDescent="0.25">
      <c r="A6" s="11" t="s">
        <v>129</v>
      </c>
      <c r="B6" s="17" t="str">
        <f t="shared" si="0"/>
        <v>14-AUG</v>
      </c>
      <c r="C6" s="17">
        <f t="shared" si="1"/>
        <v>46248</v>
      </c>
      <c r="D6" s="11" t="s">
        <v>122</v>
      </c>
      <c r="E6" s="11" t="s">
        <v>84</v>
      </c>
      <c r="F6" s="10" t="str">
        <f>PROPER(E6)</f>
        <v>Camping Tent</v>
      </c>
      <c r="G6" s="11" t="s">
        <v>85</v>
      </c>
      <c r="H6" s="10" t="str">
        <f t="shared" si="2"/>
        <v>Camping Tent-Coleman</v>
      </c>
      <c r="I6" s="11"/>
      <c r="J6" s="14">
        <f>IF(ISBLANK(I6),AVERAGE(I6:I39),I6)</f>
        <v>295</v>
      </c>
      <c r="K6" s="11">
        <v>10</v>
      </c>
      <c r="L6" s="11" t="s">
        <v>59</v>
      </c>
      <c r="M6" s="10" t="str">
        <f>IF(ISBLANK(L6),"UNKNOWN",L6)</f>
        <v>Outdoor</v>
      </c>
    </row>
    <row r="7" spans="1:13" x14ac:dyDescent="0.25">
      <c r="A7" s="10" t="s">
        <v>130</v>
      </c>
      <c r="B7" s="17" t="str">
        <f t="shared" si="0"/>
        <v>03-MAR</v>
      </c>
      <c r="C7" s="17">
        <f t="shared" si="1"/>
        <v>46084</v>
      </c>
      <c r="D7" s="10" t="s">
        <v>122</v>
      </c>
      <c r="E7" s="10" t="s">
        <v>34</v>
      </c>
      <c r="F7" s="10" t="str">
        <f>PROPER(E7)</f>
        <v>Coffee Maker</v>
      </c>
      <c r="G7" s="10" t="s">
        <v>35</v>
      </c>
      <c r="H7" s="10" t="str">
        <f t="shared" si="2"/>
        <v>Coffee Maker-Keurig</v>
      </c>
      <c r="I7" s="10">
        <v>130</v>
      </c>
      <c r="J7" s="14">
        <f>IF(ISBLANK(I7),AVERAGE(I7:I40),I7)</f>
        <v>130</v>
      </c>
      <c r="K7" s="10">
        <v>40</v>
      </c>
      <c r="L7" s="10" t="s">
        <v>36</v>
      </c>
      <c r="M7" s="10" t="str">
        <f>IF(ISBLANK(L7),"UNKNOWN",L7)</f>
        <v>Kitchen</v>
      </c>
    </row>
    <row r="8" spans="1:13" x14ac:dyDescent="0.25">
      <c r="A8" s="10" t="s">
        <v>131</v>
      </c>
      <c r="B8" s="17" t="str">
        <f t="shared" si="0"/>
        <v>08-DEC</v>
      </c>
      <c r="C8" s="17">
        <f t="shared" si="1"/>
        <v>46364</v>
      </c>
      <c r="D8" s="10" t="s">
        <v>132</v>
      </c>
      <c r="E8" s="10" t="s">
        <v>34</v>
      </c>
      <c r="F8" s="10" t="str">
        <f>PROPER(E8)</f>
        <v>Coffee Maker</v>
      </c>
      <c r="G8" s="10" t="s">
        <v>65</v>
      </c>
      <c r="H8" s="10" t="str">
        <f t="shared" si="2"/>
        <v>Coffee Maker-Nespresso</v>
      </c>
      <c r="I8" s="10">
        <v>120</v>
      </c>
      <c r="J8" s="14">
        <f>IF(ISBLANK(I8),AVERAGE(I8:I41),I8)</f>
        <v>120</v>
      </c>
      <c r="K8" s="10">
        <v>35</v>
      </c>
      <c r="L8" s="10"/>
      <c r="M8" s="10" t="str">
        <f>IF(ISBLANK(L8),"UNKNOWN",L8)</f>
        <v>UNKNOWN</v>
      </c>
    </row>
    <row r="9" spans="1:13" x14ac:dyDescent="0.25">
      <c r="A9" s="10" t="s">
        <v>133</v>
      </c>
      <c r="B9" s="17" t="str">
        <f t="shared" si="0"/>
        <v>07-MAR</v>
      </c>
      <c r="C9" s="17">
        <f t="shared" si="1"/>
        <v>46088</v>
      </c>
      <c r="D9" s="10" t="s">
        <v>126</v>
      </c>
      <c r="E9" s="10" t="s">
        <v>103</v>
      </c>
      <c r="F9" s="10" t="str">
        <f>PROPER(E9)</f>
        <v>Dress</v>
      </c>
      <c r="G9" s="10" t="s">
        <v>104</v>
      </c>
      <c r="H9" s="10" t="str">
        <f t="shared" si="2"/>
        <v>Dress-Zara</v>
      </c>
      <c r="I9" s="10">
        <v>60</v>
      </c>
      <c r="J9" s="14">
        <f>IF(ISBLANK(I9),AVERAGE(I9:I42),I9)</f>
        <v>60</v>
      </c>
      <c r="K9" s="10">
        <v>30</v>
      </c>
      <c r="L9" s="10" t="s">
        <v>32</v>
      </c>
      <c r="M9" s="10" t="str">
        <f>IF(ISBLANK(L9),"UNKNOWN",L9)</f>
        <v>Fashion</v>
      </c>
    </row>
    <row r="10" spans="1:13" x14ac:dyDescent="0.25">
      <c r="A10" s="10" t="s">
        <v>134</v>
      </c>
      <c r="B10" s="17" t="str">
        <f t="shared" si="0"/>
        <v>24-MAY</v>
      </c>
      <c r="C10" s="17">
        <f t="shared" si="1"/>
        <v>46166</v>
      </c>
      <c r="D10" s="10" t="s">
        <v>126</v>
      </c>
      <c r="E10" s="10" t="s">
        <v>93</v>
      </c>
      <c r="F10" s="10" t="str">
        <f>PROPER(E10)</f>
        <v>Fitness Tracker</v>
      </c>
      <c r="G10" s="10" t="s">
        <v>109</v>
      </c>
      <c r="H10" s="10" t="str">
        <f t="shared" si="2"/>
        <v>Fitness Tracker-Garmin</v>
      </c>
      <c r="I10" s="10">
        <v>130</v>
      </c>
      <c r="J10" s="14">
        <f>IF(ISBLANK(I10),AVERAGE(I10:I43),I10)</f>
        <v>130</v>
      </c>
      <c r="K10" s="10">
        <v>5</v>
      </c>
      <c r="L10" s="10" t="s">
        <v>28</v>
      </c>
      <c r="M10" s="10" t="str">
        <f>IF(ISBLANK(L10),"UNKNOWN",L10)</f>
        <v>Electronics</v>
      </c>
    </row>
    <row r="11" spans="1:13" x14ac:dyDescent="0.25">
      <c r="A11" s="10" t="s">
        <v>135</v>
      </c>
      <c r="B11" s="17" t="str">
        <f t="shared" si="0"/>
        <v>19-JUL</v>
      </c>
      <c r="C11" s="17">
        <f t="shared" si="1"/>
        <v>46222</v>
      </c>
      <c r="D11" s="10" t="s">
        <v>136</v>
      </c>
      <c r="E11" s="10" t="s">
        <v>93</v>
      </c>
      <c r="F11" s="10" t="str">
        <f>PROPER(E11)</f>
        <v>Fitness Tracker</v>
      </c>
      <c r="G11" s="10" t="s">
        <v>94</v>
      </c>
      <c r="H11" s="10" t="str">
        <f t="shared" si="2"/>
        <v>Fitness Tracker-Xiaomi</v>
      </c>
      <c r="I11" s="10">
        <v>150</v>
      </c>
      <c r="J11" s="14">
        <f>IF(ISBLANK(I11),AVERAGE(I11:I44),I11)</f>
        <v>150</v>
      </c>
      <c r="K11" s="10">
        <v>30</v>
      </c>
      <c r="L11" s="10"/>
      <c r="M11" s="10" t="str">
        <f>IF(ISBLANK(L11),"UNKNOWN",L11)</f>
        <v>UNKNOWN</v>
      </c>
    </row>
    <row r="12" spans="1:13" x14ac:dyDescent="0.25">
      <c r="A12" s="10" t="s">
        <v>137</v>
      </c>
      <c r="B12" s="17" t="str">
        <f t="shared" si="0"/>
        <v>16-APR</v>
      </c>
      <c r="C12" s="17">
        <f t="shared" si="1"/>
        <v>46128</v>
      </c>
      <c r="D12" s="10" t="s">
        <v>138</v>
      </c>
      <c r="E12" s="10" t="s">
        <v>70</v>
      </c>
      <c r="F12" s="10" t="str">
        <f>PROPER(E12)</f>
        <v>Headphones</v>
      </c>
      <c r="G12" s="10" t="s">
        <v>71</v>
      </c>
      <c r="H12" s="10" t="str">
        <f t="shared" si="2"/>
        <v>Headphones-Bose</v>
      </c>
      <c r="I12" s="10">
        <v>250</v>
      </c>
      <c r="J12" s="14">
        <f>IF(ISBLANK(I12),AVERAGE(I12:I45),I12)</f>
        <v>250</v>
      </c>
      <c r="K12" s="10">
        <v>20</v>
      </c>
      <c r="L12" s="10" t="s">
        <v>28</v>
      </c>
      <c r="M12" s="10" t="str">
        <f>IF(ISBLANK(L12),"UNKNOWN",L12)</f>
        <v>Electronics</v>
      </c>
    </row>
    <row r="13" spans="1:13" x14ac:dyDescent="0.25">
      <c r="A13" s="11" t="s">
        <v>139</v>
      </c>
      <c r="B13" s="17" t="str">
        <f t="shared" si="0"/>
        <v>07-JUN</v>
      </c>
      <c r="C13" s="17">
        <f t="shared" si="1"/>
        <v>46180</v>
      </c>
      <c r="D13" s="11" t="s">
        <v>124</v>
      </c>
      <c r="E13" s="11" t="s">
        <v>44</v>
      </c>
      <c r="F13" s="10" t="str">
        <f>PROPER(E13)</f>
        <v>Headphones</v>
      </c>
      <c r="G13" s="11" t="s">
        <v>45</v>
      </c>
      <c r="H13" s="10" t="str">
        <f t="shared" si="2"/>
        <v>Headphones-Sony</v>
      </c>
      <c r="I13" s="11"/>
      <c r="J13" s="14">
        <f>IF(ISBLANK(I13),AVERAGE(I13:I46),I13)</f>
        <v>346.66666666666669</v>
      </c>
      <c r="K13" s="11">
        <v>45</v>
      </c>
      <c r="L13" s="11" t="s">
        <v>28</v>
      </c>
      <c r="M13" s="10" t="str">
        <f>IF(ISBLANK(L13),"UNKNOWN",L13)</f>
        <v>Electronics</v>
      </c>
    </row>
    <row r="14" spans="1:13" x14ac:dyDescent="0.25">
      <c r="A14" s="11" t="s">
        <v>140</v>
      </c>
      <c r="B14" s="17" t="str">
        <f t="shared" si="0"/>
        <v>14-OCT</v>
      </c>
      <c r="C14" s="17">
        <f t="shared" si="1"/>
        <v>46309</v>
      </c>
      <c r="D14" s="11" t="s">
        <v>124</v>
      </c>
      <c r="E14" s="11" t="s">
        <v>57</v>
      </c>
      <c r="F14" s="10" t="str">
        <f>PROPER(E14)</f>
        <v>Hiking Boots</v>
      </c>
      <c r="G14" s="11" t="s">
        <v>58</v>
      </c>
      <c r="H14" s="10" t="str">
        <f t="shared" si="2"/>
        <v>Hiking Boots-Timberland</v>
      </c>
      <c r="I14" s="11">
        <v>130</v>
      </c>
      <c r="J14" s="14">
        <f>IF(ISBLANK(I14),AVERAGE(I14:I47),I14)</f>
        <v>130</v>
      </c>
      <c r="K14" s="11">
        <v>10</v>
      </c>
      <c r="L14" s="11" t="s">
        <v>59</v>
      </c>
      <c r="M14" s="10" t="str">
        <f>IF(ISBLANK(L14),"UNKNOWN",L14)</f>
        <v>Outdoor</v>
      </c>
    </row>
    <row r="15" spans="1:13" x14ac:dyDescent="0.25">
      <c r="A15" s="11" t="s">
        <v>141</v>
      </c>
      <c r="B15" s="17" t="str">
        <f t="shared" si="0"/>
        <v>02-DEC</v>
      </c>
      <c r="C15" s="17">
        <f t="shared" si="1"/>
        <v>46358</v>
      </c>
      <c r="D15" s="11" t="s">
        <v>126</v>
      </c>
      <c r="E15" s="11" t="s">
        <v>111</v>
      </c>
      <c r="F15" s="10" t="str">
        <f>PROPER(E15)</f>
        <v>Jeans</v>
      </c>
      <c r="G15" s="11" t="s">
        <v>112</v>
      </c>
      <c r="H15" s="10" t="str">
        <f t="shared" si="2"/>
        <v>Jeans-Levi's</v>
      </c>
      <c r="I15" s="11">
        <v>50</v>
      </c>
      <c r="J15" s="14">
        <f>IF(ISBLANK(I15),AVERAGE(I15:I48),I15)</f>
        <v>50</v>
      </c>
      <c r="K15" s="11">
        <v>50</v>
      </c>
      <c r="L15" s="11" t="s">
        <v>32</v>
      </c>
      <c r="M15" s="10" t="str">
        <f>IF(ISBLANK(L15),"UNKNOWN",L15)</f>
        <v>Fashion</v>
      </c>
    </row>
    <row r="16" spans="1:13" x14ac:dyDescent="0.25">
      <c r="A16" s="11" t="s">
        <v>142</v>
      </c>
      <c r="B16" s="17" t="str">
        <f t="shared" si="0"/>
        <v>27-JAN</v>
      </c>
      <c r="C16" s="17">
        <f t="shared" si="1"/>
        <v>46049</v>
      </c>
      <c r="D16" s="11" t="s">
        <v>143</v>
      </c>
      <c r="E16" s="11" t="s">
        <v>26</v>
      </c>
      <c r="F16" s="10" t="str">
        <f>PROPER(E16)</f>
        <v>Laptop</v>
      </c>
      <c r="G16" s="11" t="s">
        <v>79</v>
      </c>
      <c r="H16" s="10" t="str">
        <f t="shared" si="2"/>
        <v>Laptop-Asus</v>
      </c>
      <c r="I16" s="11">
        <v>980</v>
      </c>
      <c r="J16" s="14">
        <f>IF(ISBLANK(I16),AVERAGE(I16:I49),I16)</f>
        <v>980</v>
      </c>
      <c r="K16" s="11">
        <v>10</v>
      </c>
      <c r="L16" s="11" t="s">
        <v>28</v>
      </c>
      <c r="M16" s="10" t="str">
        <f>IF(ISBLANK(L16),"UNKNOWN",L16)</f>
        <v>Electronics</v>
      </c>
    </row>
    <row r="17" spans="1:13" x14ac:dyDescent="0.25">
      <c r="A17" s="10" t="s">
        <v>144</v>
      </c>
      <c r="B17" s="17" t="str">
        <f t="shared" si="0"/>
        <v>28-JAN</v>
      </c>
      <c r="C17" s="17">
        <f t="shared" si="1"/>
        <v>46050</v>
      </c>
      <c r="D17" s="10" t="s">
        <v>122</v>
      </c>
      <c r="E17" s="10" t="s">
        <v>26</v>
      </c>
      <c r="F17" s="10" t="str">
        <f>PROPER(E17)</f>
        <v>Laptop</v>
      </c>
      <c r="G17" s="10" t="s">
        <v>27</v>
      </c>
      <c r="H17" s="10" t="str">
        <f t="shared" si="2"/>
        <v>Laptop-Dell</v>
      </c>
      <c r="I17" s="10">
        <v>1000</v>
      </c>
      <c r="J17" s="14">
        <f>IF(ISBLANK(I17),AVERAGE(I17:I50),I17)</f>
        <v>1000</v>
      </c>
      <c r="K17" s="10">
        <v>30</v>
      </c>
      <c r="L17" s="10" t="s">
        <v>28</v>
      </c>
      <c r="M17" s="10" t="str">
        <f>IF(ISBLANK(L17),"UNKNOWN",L17)</f>
        <v>Electronics</v>
      </c>
    </row>
    <row r="18" spans="1:13" x14ac:dyDescent="0.25">
      <c r="A18" s="10" t="s">
        <v>145</v>
      </c>
      <c r="B18" s="17" t="str">
        <f t="shared" si="0"/>
        <v>17-JUN</v>
      </c>
      <c r="C18" s="17">
        <f t="shared" si="1"/>
        <v>46190</v>
      </c>
      <c r="D18" s="10" t="s">
        <v>146</v>
      </c>
      <c r="E18" s="10" t="s">
        <v>61</v>
      </c>
      <c r="F18" s="10" t="str">
        <f>PROPER(E18)</f>
        <v>Laptop</v>
      </c>
      <c r="G18" s="10" t="s">
        <v>62</v>
      </c>
      <c r="H18" s="10" t="str">
        <f t="shared" si="2"/>
        <v>Laptop-HP</v>
      </c>
      <c r="I18" s="10">
        <v>950</v>
      </c>
      <c r="J18" s="14">
        <f>IF(ISBLANK(I18),AVERAGE(I18:I51),I18)</f>
        <v>950</v>
      </c>
      <c r="K18" s="10">
        <v>25</v>
      </c>
      <c r="L18" s="10" t="s">
        <v>28</v>
      </c>
      <c r="M18" s="10" t="str">
        <f>IF(ISBLANK(L18),"UNKNOWN",L18)</f>
        <v>Electronics</v>
      </c>
    </row>
    <row r="19" spans="1:13" x14ac:dyDescent="0.25">
      <c r="A19" s="11" t="s">
        <v>147</v>
      </c>
      <c r="B19" s="17" t="str">
        <f t="shared" si="0"/>
        <v>21-AUG</v>
      </c>
      <c r="C19" s="17">
        <f t="shared" si="1"/>
        <v>46255</v>
      </c>
      <c r="D19" s="11" t="s">
        <v>126</v>
      </c>
      <c r="E19" s="11" t="s">
        <v>73</v>
      </c>
      <c r="F19" s="10" t="str">
        <f>PROPER(E19)</f>
        <v>Laptop Bag</v>
      </c>
      <c r="G19" s="11" t="s">
        <v>74</v>
      </c>
      <c r="H19" s="10" t="str">
        <f t="shared" si="2"/>
        <v>Laptop Bag-Samsonite</v>
      </c>
      <c r="I19" s="11">
        <v>50</v>
      </c>
      <c r="J19" s="14">
        <f>IF(ISBLANK(I19),AVERAGE(I19:I52),I19)</f>
        <v>50</v>
      </c>
      <c r="K19" s="11">
        <v>35</v>
      </c>
      <c r="L19" s="11" t="s">
        <v>75</v>
      </c>
      <c r="M19" s="10" t="str">
        <f>IF(ISBLANK(L19),"UNKNOWN",L19)</f>
        <v>Accessories</v>
      </c>
    </row>
    <row r="20" spans="1:13" x14ac:dyDescent="0.25">
      <c r="A20" s="11" t="s">
        <v>148</v>
      </c>
      <c r="B20" s="17" t="str">
        <f t="shared" si="0"/>
        <v>09-JAN</v>
      </c>
      <c r="C20" s="17">
        <f t="shared" si="1"/>
        <v>46031</v>
      </c>
      <c r="D20" s="11" t="s">
        <v>126</v>
      </c>
      <c r="E20" s="11" t="s">
        <v>90</v>
      </c>
      <c r="F20" s="10" t="str">
        <f>PROPER(E20)</f>
        <v>Microwave</v>
      </c>
      <c r="G20" s="11" t="s">
        <v>91</v>
      </c>
      <c r="H20" s="10" t="str">
        <f t="shared" si="2"/>
        <v>Microwave-Panasonic</v>
      </c>
      <c r="I20" s="11">
        <v>80</v>
      </c>
      <c r="J20" s="14">
        <f>IF(ISBLANK(I20),AVERAGE(I20:I53),I20)</f>
        <v>80</v>
      </c>
      <c r="K20" s="11">
        <v>20</v>
      </c>
      <c r="L20" s="11" t="s">
        <v>36</v>
      </c>
      <c r="M20" s="10" t="str">
        <f>IF(ISBLANK(L20),"UNKNOWN",L20)</f>
        <v>Kitchen</v>
      </c>
    </row>
    <row r="21" spans="1:13" x14ac:dyDescent="0.25">
      <c r="A21" s="10" t="s">
        <v>149</v>
      </c>
      <c r="B21" s="17" t="str">
        <f t="shared" si="0"/>
        <v>29-SEP</v>
      </c>
      <c r="C21" s="17">
        <f t="shared" si="1"/>
        <v>46294</v>
      </c>
      <c r="D21" s="10" t="s">
        <v>126</v>
      </c>
      <c r="E21" s="10" t="s">
        <v>96</v>
      </c>
      <c r="F21" s="10" t="str">
        <f>PROPER(E21)</f>
        <v>Smartphone</v>
      </c>
      <c r="G21" s="10" t="s">
        <v>97</v>
      </c>
      <c r="H21" s="10" t="str">
        <f t="shared" si="2"/>
        <v>Smartphone-Google</v>
      </c>
      <c r="I21" s="10">
        <v>800</v>
      </c>
      <c r="J21" s="14">
        <f>IF(ISBLANK(I21),AVERAGE(I21:I54),I21)</f>
        <v>800</v>
      </c>
      <c r="K21" s="10">
        <v>45</v>
      </c>
      <c r="L21" s="10" t="s">
        <v>28</v>
      </c>
      <c r="M21" s="10" t="str">
        <f>IF(ISBLANK(L21),"UNKNOWN",L21)</f>
        <v>Electronics</v>
      </c>
    </row>
    <row r="22" spans="1:13" x14ac:dyDescent="0.25">
      <c r="A22" s="11" t="s">
        <v>150</v>
      </c>
      <c r="B22" s="17" t="str">
        <f t="shared" si="0"/>
        <v>11-APR</v>
      </c>
      <c r="C22" s="17">
        <f t="shared" si="1"/>
        <v>46123</v>
      </c>
      <c r="D22" s="11" t="s">
        <v>122</v>
      </c>
      <c r="E22" s="11" t="s">
        <v>38</v>
      </c>
      <c r="F22" s="10" t="str">
        <f>PROPER(E22)</f>
        <v>Smartphone</v>
      </c>
      <c r="G22" s="11" t="s">
        <v>39</v>
      </c>
      <c r="H22" s="10" t="str">
        <f t="shared" si="2"/>
        <v>Smartphone-Samsung</v>
      </c>
      <c r="I22" s="11">
        <v>900</v>
      </c>
      <c r="J22" s="14">
        <f>IF(ISBLANK(I22),AVERAGE(I22:I55),I22)</f>
        <v>900</v>
      </c>
      <c r="K22" s="11">
        <v>25</v>
      </c>
      <c r="L22" s="11" t="s">
        <v>28</v>
      </c>
      <c r="M22" s="10" t="str">
        <f>IF(ISBLANK(L22),"UNKNOWN",L22)</f>
        <v>Electronics</v>
      </c>
    </row>
    <row r="23" spans="1:13" x14ac:dyDescent="0.25">
      <c r="A23" s="11" t="s">
        <v>151</v>
      </c>
      <c r="B23" s="17" t="str">
        <f t="shared" si="0"/>
        <v>18-FEB</v>
      </c>
      <c r="C23" s="17">
        <f t="shared" si="1"/>
        <v>46071</v>
      </c>
      <c r="D23" s="11" t="s">
        <v>126</v>
      </c>
      <c r="E23" s="11" t="s">
        <v>67</v>
      </c>
      <c r="F23" s="10" t="str">
        <f>PROPER(E23)</f>
        <v>Smartwatch</v>
      </c>
      <c r="G23" s="11" t="s">
        <v>68</v>
      </c>
      <c r="H23" s="10" t="str">
        <f t="shared" si="2"/>
        <v>Smartwatch-Fitbit</v>
      </c>
      <c r="I23" s="11">
        <v>150</v>
      </c>
      <c r="J23" s="14">
        <f>IF(ISBLANK(I23),AVERAGE(I23:I56),I23)</f>
        <v>150</v>
      </c>
      <c r="K23" s="11">
        <v>15</v>
      </c>
      <c r="L23" s="11" t="s">
        <v>28</v>
      </c>
      <c r="M23" s="10" t="str">
        <f>IF(ISBLANK(L23),"UNKNOWN",L23)</f>
        <v>Electronics</v>
      </c>
    </row>
    <row r="24" spans="1:13" x14ac:dyDescent="0.25">
      <c r="A24" s="10" t="s">
        <v>152</v>
      </c>
      <c r="B24" s="17" t="str">
        <f t="shared" si="0"/>
        <v>20-AUG</v>
      </c>
      <c r="C24" s="17">
        <f t="shared" si="1"/>
        <v>46254</v>
      </c>
      <c r="D24" s="10" t="s">
        <v>153</v>
      </c>
      <c r="E24" s="10" t="s">
        <v>67</v>
      </c>
      <c r="F24" s="10" t="str">
        <f>PROPER(E24)</f>
        <v>Smartwatch</v>
      </c>
      <c r="G24" s="10" t="s">
        <v>77</v>
      </c>
      <c r="H24" s="10" t="str">
        <f t="shared" si="2"/>
        <v>Smartwatch-Huawei</v>
      </c>
      <c r="I24" s="10">
        <v>160</v>
      </c>
      <c r="J24" s="14">
        <f>IF(ISBLANK(I24),AVERAGE(I24:I57),I24)</f>
        <v>160</v>
      </c>
      <c r="K24" s="10">
        <v>15</v>
      </c>
      <c r="L24" s="10" t="s">
        <v>28</v>
      </c>
      <c r="M24" s="10" t="str">
        <f>IF(ISBLANK(L24),"UNKNOWN",L24)</f>
        <v>Electronics</v>
      </c>
    </row>
    <row r="25" spans="1:13" x14ac:dyDescent="0.25">
      <c r="A25" s="11" t="s">
        <v>154</v>
      </c>
      <c r="B25" s="17" t="str">
        <f t="shared" si="0"/>
        <v>25-NOV</v>
      </c>
      <c r="C25" s="17">
        <f t="shared" si="1"/>
        <v>46351</v>
      </c>
      <c r="D25" s="11" t="s">
        <v>155</v>
      </c>
      <c r="E25" s="11" t="s">
        <v>30</v>
      </c>
      <c r="F25" s="10" t="str">
        <f>PROPER(E25)</f>
        <v>Sneakers</v>
      </c>
      <c r="G25" s="11" t="s">
        <v>49</v>
      </c>
      <c r="H25" s="10" t="str">
        <f t="shared" si="2"/>
        <v>Sneakers-Adidas</v>
      </c>
      <c r="I25" s="11">
        <v>90</v>
      </c>
      <c r="J25" s="14">
        <f>IF(ISBLANK(I25),AVERAGE(I25:I58),I25)</f>
        <v>90</v>
      </c>
      <c r="K25" s="11">
        <v>40</v>
      </c>
      <c r="L25" s="11"/>
      <c r="M25" s="10" t="str">
        <f>IF(ISBLANK(L25),"UNKNOWN",L25)</f>
        <v>UNKNOWN</v>
      </c>
    </row>
    <row r="26" spans="1:13" x14ac:dyDescent="0.25">
      <c r="A26" s="11" t="s">
        <v>156</v>
      </c>
      <c r="B26" s="17" t="str">
        <f t="shared" si="0"/>
        <v>15-FEB</v>
      </c>
      <c r="C26" s="17">
        <f t="shared" si="1"/>
        <v>46068</v>
      </c>
      <c r="D26" s="11" t="s">
        <v>122</v>
      </c>
      <c r="E26" s="11" t="s">
        <v>30</v>
      </c>
      <c r="F26" s="10" t="str">
        <f>PROPER(E26)</f>
        <v>Sneakers</v>
      </c>
      <c r="G26" s="11" t="s">
        <v>31</v>
      </c>
      <c r="H26" s="10" t="str">
        <f t="shared" si="2"/>
        <v>Sneakers-Nike</v>
      </c>
      <c r="I26" s="11">
        <v>80</v>
      </c>
      <c r="J26" s="14">
        <f>IF(ISBLANK(I26),AVERAGE(I26:I59),I26)</f>
        <v>80</v>
      </c>
      <c r="K26" s="11">
        <v>15</v>
      </c>
      <c r="L26" s="11" t="s">
        <v>32</v>
      </c>
      <c r="M26" s="10" t="str">
        <f>IF(ISBLANK(L26),"UNKNOWN",L26)</f>
        <v>Fashion</v>
      </c>
    </row>
    <row r="27" spans="1:13" x14ac:dyDescent="0.25">
      <c r="A27" s="10" t="s">
        <v>157</v>
      </c>
      <c r="B27" s="17" t="str">
        <f t="shared" si="0"/>
        <v>01-MAR</v>
      </c>
      <c r="C27" s="17">
        <f t="shared" si="1"/>
        <v>46082</v>
      </c>
      <c r="D27" s="10" t="s">
        <v>124</v>
      </c>
      <c r="E27" s="10" t="s">
        <v>81</v>
      </c>
      <c r="F27" s="10" t="str">
        <f>PROPER(E27)</f>
        <v>Sunglasses</v>
      </c>
      <c r="G27" s="10" t="s">
        <v>82</v>
      </c>
      <c r="H27" s="10" t="str">
        <f t="shared" si="2"/>
        <v>Sunglasses-Oakley</v>
      </c>
      <c r="I27" s="10">
        <v>150</v>
      </c>
      <c r="J27" s="14">
        <f>IF(ISBLANK(I27),AVERAGE(I27:I60),I27)</f>
        <v>150</v>
      </c>
      <c r="K27" s="10">
        <v>15</v>
      </c>
      <c r="L27" s="10" t="s">
        <v>32</v>
      </c>
      <c r="M27" s="10" t="str">
        <f>IF(ISBLANK(L27),"UNKNOWN",L27)</f>
        <v>Fashion</v>
      </c>
    </row>
    <row r="28" spans="1:13" x14ac:dyDescent="0.25">
      <c r="A28" s="11" t="s">
        <v>158</v>
      </c>
      <c r="B28" s="17" t="str">
        <f t="shared" si="0"/>
        <v>03-JUN</v>
      </c>
      <c r="C28" s="17">
        <f t="shared" si="1"/>
        <v>46176</v>
      </c>
      <c r="D28" s="11" t="s">
        <v>126</v>
      </c>
      <c r="E28" s="11" t="s">
        <v>81</v>
      </c>
      <c r="F28" s="10" t="str">
        <f>PROPER(E28)</f>
        <v>Sunglasses</v>
      </c>
      <c r="G28" s="11" t="s">
        <v>99</v>
      </c>
      <c r="H28" s="10" t="str">
        <f t="shared" si="2"/>
        <v>Sunglasses-Ray-Ban</v>
      </c>
      <c r="I28" s="11"/>
      <c r="J28" s="14">
        <f>IF(ISBLANK(I28),AVERAGE(I28:I61),I28)</f>
        <v>167.5</v>
      </c>
      <c r="K28" s="11">
        <v>25</v>
      </c>
      <c r="L28" s="11" t="s">
        <v>32</v>
      </c>
      <c r="M28" s="10" t="str">
        <f>IF(ISBLANK(L28),"UNKNOWN",L28)</f>
        <v>Fashion</v>
      </c>
    </row>
    <row r="29" spans="1:13" x14ac:dyDescent="0.25">
      <c r="A29" s="10" t="s">
        <v>159</v>
      </c>
      <c r="B29" s="17" t="str">
        <f t="shared" si="0"/>
        <v>05-SEP</v>
      </c>
      <c r="C29" s="17">
        <f t="shared" si="1"/>
        <v>46270</v>
      </c>
      <c r="D29" s="10" t="s">
        <v>124</v>
      </c>
      <c r="E29" s="10" t="s">
        <v>54</v>
      </c>
      <c r="F29" s="10" t="str">
        <f>PROPER(E29)</f>
        <v>Tablet</v>
      </c>
      <c r="G29" s="10" t="s">
        <v>55</v>
      </c>
      <c r="H29" s="10" t="str">
        <f t="shared" si="2"/>
        <v>Tablet-Apple</v>
      </c>
      <c r="I29" s="10">
        <v>500</v>
      </c>
      <c r="J29" s="14">
        <f>IF(ISBLANK(I29),AVERAGE(I29:I62),I29)</f>
        <v>500</v>
      </c>
      <c r="K29" s="10">
        <v>50</v>
      </c>
      <c r="L29" s="10" t="s">
        <v>28</v>
      </c>
      <c r="M29" s="10" t="str">
        <f>IF(ISBLANK(L29),"UNKNOWN",L29)</f>
        <v>Electronics</v>
      </c>
    </row>
    <row r="30" spans="1:13" x14ac:dyDescent="0.25">
      <c r="A30" s="11" t="s">
        <v>160</v>
      </c>
      <c r="B30" s="17" t="str">
        <f t="shared" si="0"/>
        <v>13-APR</v>
      </c>
      <c r="C30" s="17">
        <f t="shared" si="1"/>
        <v>46125</v>
      </c>
      <c r="D30" s="11" t="s">
        <v>126</v>
      </c>
      <c r="E30" s="11" t="s">
        <v>106</v>
      </c>
      <c r="F30" s="10" t="str">
        <f>PROPER(E30)</f>
        <v>Toaster</v>
      </c>
      <c r="G30" s="11" t="s">
        <v>107</v>
      </c>
      <c r="H30" s="10" t="str">
        <f t="shared" si="2"/>
        <v>Toaster-Hamilton</v>
      </c>
      <c r="I30" s="11">
        <v>40</v>
      </c>
      <c r="J30" s="14">
        <f>IF(ISBLANK(I30),AVERAGE(I30:I63),I30)</f>
        <v>40</v>
      </c>
      <c r="K30" s="11">
        <v>10</v>
      </c>
      <c r="L30" s="11" t="s">
        <v>36</v>
      </c>
      <c r="M30" s="10" t="str">
        <f>IF(ISBLANK(L30),"UNKNOWN",L30)</f>
        <v>Kitchen</v>
      </c>
    </row>
    <row r="31" spans="1:13" x14ac:dyDescent="0.25">
      <c r="A31" s="10" t="s">
        <v>135</v>
      </c>
      <c r="B31" s="17" t="str">
        <f t="shared" si="0"/>
        <v>19-JUL</v>
      </c>
      <c r="C31" s="17">
        <f t="shared" si="1"/>
        <v>46222</v>
      </c>
      <c r="D31" s="10" t="s">
        <v>124</v>
      </c>
      <c r="E31" s="10" t="s">
        <v>48</v>
      </c>
      <c r="F31" s="10" t="str">
        <f>PROPER(E31)</f>
        <v>T-Shirt</v>
      </c>
      <c r="G31" s="10" t="s">
        <v>49</v>
      </c>
      <c r="H31" s="10" t="str">
        <f t="shared" si="2"/>
        <v>T-Shirt-Adidas</v>
      </c>
      <c r="I31" s="10">
        <v>30</v>
      </c>
      <c r="J31" s="14">
        <f>IF(ISBLANK(I31),AVERAGE(I31:I64),I31)</f>
        <v>30</v>
      </c>
      <c r="K31" s="10">
        <v>5</v>
      </c>
      <c r="L31" s="10" t="s">
        <v>32</v>
      </c>
      <c r="M31" s="10" t="str">
        <f>IF(ISBLANK(L31),"UNKNOWN",L31)</f>
        <v>Fashion</v>
      </c>
    </row>
    <row r="32" spans="1:13" x14ac:dyDescent="0.25">
      <c r="A32" s="11" t="s">
        <v>161</v>
      </c>
      <c r="B32" s="17" t="str">
        <f t="shared" si="0"/>
        <v>09-JUL</v>
      </c>
      <c r="C32" s="17">
        <f t="shared" si="1"/>
        <v>46212</v>
      </c>
      <c r="D32" s="11" t="s">
        <v>162</v>
      </c>
      <c r="E32" s="11" t="s">
        <v>114</v>
      </c>
      <c r="F32" s="10" t="str">
        <f>PROPER(E32)</f>
        <v>Watch</v>
      </c>
      <c r="G32" s="11" t="s">
        <v>115</v>
      </c>
      <c r="H32" s="10" t="str">
        <f t="shared" si="2"/>
        <v>Watch-Casio</v>
      </c>
      <c r="I32" s="11">
        <v>100</v>
      </c>
      <c r="J32" s="14">
        <f>IF(ISBLANK(I32),AVERAGE(I32:I65),I32)</f>
        <v>100</v>
      </c>
      <c r="K32" s="11">
        <v>20</v>
      </c>
      <c r="L32" s="11" t="s">
        <v>75</v>
      </c>
      <c r="M32" s="10" t="str">
        <f>IF(ISBLANK(L32),"UNKNOWN",L32)</f>
        <v>Accessories</v>
      </c>
    </row>
  </sheetData>
  <sortState xmlns:xlrd2="http://schemas.microsoft.com/office/spreadsheetml/2017/richdata2" ref="A2:L35">
    <sortCondition ref="E2:E35"/>
  </sortState>
  <conditionalFormatting sqref="J1:J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{7711502A-EF08-44A8-A0A4-A69DB31D5197}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168B65CF-5F6B-41BA-98BC-72BBECACA730}">
            <xm:f>NOT(ISERROR(SEARCH($M$22,M1)))</xm:f>
            <xm:f>$M$22</xm:f>
            <x14:dxf>
              <fill>
                <patternFill>
                  <bgColor rgb="FF92D05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dataBar" id="{7711502A-EF08-44A8-A0A4-A69DB31D5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VIGHNU</dc:creator>
  <cp:lastModifiedBy>AAKASH VIGHNU</cp:lastModifiedBy>
  <dcterms:created xsi:type="dcterms:W3CDTF">2026-10-22T18:24:47Z</dcterms:created>
  <dcterms:modified xsi:type="dcterms:W3CDTF">2026-10-22T18:24:47Z</dcterms:modified>
</cp:coreProperties>
</file>